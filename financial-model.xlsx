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7cde1e180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3732be741a7b4b1e"/>
    <x:sheet xmlns:r="http://schemas.openxmlformats.org/officeDocument/2006/relationships" name="Inputs" sheetId="2" r:id="Rd68dcb4efda54ee2"/>
    <x:sheet xmlns:r="http://schemas.openxmlformats.org/officeDocument/2006/relationships" name="CashFlows" sheetId="3" r:id="R9f6bd584c47f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–&quot;"/>
    <x:numFmt numFmtId="201" formatCode="0.0%;(0.0%);&quot;–&quot;"/>
    <x:numFmt numFmtId="202" formatCode="0"/>
    <x:numFmt numFmtId="203" formatCode="0.000"/>
  </x:numFmts>
  <x:fonts count="9">
    <x:font>
      <x:sz val="11"/>
      <x:name val="Carlito"/>
    </x:font>
    <x:font>
      <x:sz val="10"/>
      <x:color rgb="FF172A36"/>
      <x:name val="Arial"/>
    </x:font>
    <x:font>
      <x:b/>
      <x:sz val="14"/>
      <x:color rgb="FF18354A"/>
      <x:name val="Arial"/>
    </x:font>
    <x:font>
      <x:sz val="10"/>
      <x:color rgb="FF60717C"/>
      <x:name val="Arial"/>
    </x:font>
    <x:font>
      <x:sz val="10"/>
      <x:color rgb="FF1762B2"/>
      <x:name val="Arial"/>
    </x:font>
    <x:font>
      <x:b/>
      <x:sz val="10"/>
      <x:color rgb="FFFFFFFF"/>
      <x:name val="Arial"/>
    </x:font>
    <x:font>
      <x:sz val="10"/>
      <x:color rgb="FF14734A"/>
      <x:name val="Arial"/>
    </x:font>
    <x:font>
      <x:b/>
      <x:sz val="10"/>
      <x:color rgb="FF172A36"/>
      <x:name val="Arial"/>
    </x:font>
    <x:font>
      <x:b/>
      <x:sz val="10"/>
      <x:color rgb="FF1473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5FD"/>
      </x:patternFill>
    </x:fill>
    <x:fill>
      <x:patternFill patternType="solid">
        <x:fgColor rgb="FF18354A"/>
      </x:patternFill>
    </x:fill>
    <x:fill>
      <x:patternFill patternType="solid">
        <x:fgColor rgb="FFE5F3F1"/>
      </x:patternFill>
    </x:fill>
  </x:fills>
  <x:borders count="2">
    <x:border/>
    <x:border>
      <x:top style="thin">
        <x:color rgb="FFA7C7C2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2" fontId="1" fillId="0" borderId="0" xfId="0" applyNumberFormat="1" applyFont="1" applyFill="1" applyBorder="1"/>
    <x:xf numFmtId="203" fontId="6" fillId="0" borderId="0" xfId="0" applyNumberFormat="1" applyFont="1" applyFill="1" applyBorder="1"/>
    <x:xf numFmtId="0" fontId="1" fillId="4" borderId="0" xfId="0" applyNumberFormat="1" applyFont="1" applyFill="1" applyBorder="1"/>
    <x:xf numFmtId="200" fontId="6" fillId="4" borderId="0" xfId="0" applyNumberFormat="1" applyFont="1" applyFill="1" applyBorder="1"/>
    <x:xf numFmtId="200" fontId="1" fillId="4" borderId="0" xfId="0" applyNumberFormat="1" applyFont="1" applyFill="1" applyBorder="1"/>
    <x:xf numFmtId="0" fontId="7" fillId="4" borderId="0" xfId="0" applyNumberFormat="1" applyFont="1" applyFill="1" applyBorder="1"/>
    <x:xf numFmtId="200" fontId="8" fillId="4" borderId="0" xfId="0" applyNumberFormat="1" applyFont="1" applyFill="1" applyBorder="1"/>
    <x:xf numFmtId="20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8" fillId="4" borderId="1" xfId="0" applyNumberFormat="1" applyFont="1" applyFill="1" applyBorder="1"/>
    <x:xf numFmtId="200" fontId="7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e07f1d854bf2" /><Relationship Type="http://schemas.openxmlformats.org/officeDocument/2006/relationships/theme" Target="/xl/theme/theme1.xml" Id="R7b1aa014d56e4123" /><Relationship Type="http://schemas.openxmlformats.org/officeDocument/2006/relationships/sharedStrings" Target="/xl/sharedStrings.xml" Id="Raf3237396b7a4768" /><Relationship Type="http://schemas.openxmlformats.org/officeDocument/2006/relationships/worksheet" Target="/xl/worksheets/sheet1.xml" Id="R3732be741a7b4b1e" /><Relationship Type="http://schemas.openxmlformats.org/officeDocument/2006/relationships/worksheet" Target="/xl/worksheets/sheet2.xml" Id="Rd68dcb4efda54ee2" /><Relationship Type="http://schemas.openxmlformats.org/officeDocument/2006/relationships/worksheet" Target="/xl/worksheets/sheet3.xml" Id="R9f6bd584c47f44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b93e7a7e7b43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Incremental NPV vs no deal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Incremental NPV</c:v>
          </c:tx>
          <c:spPr>
            <a:solidFill xmlns:a="http://schemas.openxmlformats.org/drawingml/2006/main">
              <a:srgbClr val="007F7A"/>
            </a:solidFill>
          </c:spPr>
          <c:cat>
            <c:strRef>
              <c:f>'Decision'!$C$7:$C$9</c:f>
              <c:strCache>
                <c:ptCount val="0"/>
              </c:strCache>
            </c:strRef>
          </c:cat>
          <c:val>
            <c:numRef>
              <c:f>'Decision'!$E$7:$E$9</c:f>
              <c:numCache>
                <c:formatCode>#,##0.00;(#,##0.00);"–"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17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b93e7a7e7b43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819d116d734a70" /></Relationships>
</file>

<file path=xl/worksheets/sheet1.xml><?xml version="1.0" encoding="utf-8"?>
<x:worksheet xmlns:x="http://schemas.openxmlformats.org/spreadsheetml/2006/main">
  <x:sheetPr>
    <x:tabColor rgb="FF007F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3" t="str">
        <x:v>Catalog licensing: price the exclusivity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4" t="str">
        <x:v>INDEPENDENT CASE STUDY  •  FICTIONAL TITLE ASSUMPTIONS  •  USD MILLIONS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8" customHeight="1">
      <x:c r="A6" s="1"/>
      <x:c r="B6" s="1"/>
      <x:c r="C6" s="16" t="str">
        <x:v>Alternative</x:v>
      </x:c>
      <x:c r="D6" s="17" t="str">
        <x:v>Headline fee</x:v>
      </x:c>
      <x:c r="E6" s="17" t="str">
        <x:v>Incremental NPV</x:v>
      </x:c>
      <x:c r="F6" s="17" t="str">
        <x:v>No-deal fee floor</x:v>
      </x:c>
      <x:c r="G6" s="17" t="str">
        <x:v>Match best alternative</x:v>
      </x:c>
      <x:c r="H6" s="17" t="str">
        <x:v>Year 1 incremental cash</x:v>
      </x:c>
      <x:c r="I6" s="2"/>
      <x:c r="J6" s="2"/>
      <x:c r="K6" s="2"/>
      <x:c r="L6" s="2"/>
      <x:c r="M6" s="2"/>
    </x:row>
    <x:row r="7" ht="23" customHeight="1">
      <x:c r="A7" s="1"/>
      <x:c r="B7" s="1"/>
      <x:c r="C7" s="1" t="str">
        <x:v>A - Full-term exclusive</x:v>
      </x:c>
      <x:c r="D7" s="18" t="n">
        <x:f>Inputs!D14</x:f>
        <x:v>42</x:v>
      </x:c>
      <x:c r="E7" s="18" t="n">
        <x:f>CashFlows!D18</x:f>
        <x:v>9.683856376004567</x:v>
      </x:c>
      <x:c r="F7" s="18" t="n">
        <x:f>(SUM(CashFlows!D16:I16)+Inputs!D15)/SUM(CashFlows!D15:I15)</x:f>
        <x:v>30.177602458498644</x:v>
      </x:c>
      <x:c r="G7" s="18" t="n">
        <x:f>F7+MAX(0,E8,E9)/SUM(CashFlows!D15:I15)</x:f>
        <x:v>45.96609373015474</x:v>
      </x:c>
      <x:c r="H7" s="18" t="n">
        <x:f>SUM(CashFlows!D13:E13)-Inputs!D15</x:f>
        <x:v>6.6</x:v>
      </x:c>
      <x:c r="I7" s="2"/>
      <x:c r="J7" s="2"/>
      <x:c r="K7" s="2"/>
      <x:c r="L7" s="2"/>
      <x:c r="M7" s="2"/>
    </x:row>
    <x:row r="8" ht="23" customHeight="1">
      <x:c r="A8" s="1"/>
      <x:c r="B8" s="1"/>
      <x:c r="C8" s="1" t="str">
        <x:v>B - Non-exclusive license</x:v>
      </x:c>
      <x:c r="D8" s="18" t="n">
        <x:f>Inputs!D21</x:f>
        <x:v>24</x:v>
      </x:c>
      <x:c r="E8" s="18" t="n">
        <x:f>CashFlows!D32</x:f>
        <x:v>11.396531484316172</x:v>
      </x:c>
      <x:c r="F8" s="18" t="n">
        <x:f>(SUM(CashFlows!D30:I30)+Inputs!D22)/SUM(CashFlows!D29:I29)</x:f>
        <x:v>9.755250674919548</x:v>
      </x:c>
      <x:c r="G8" s="18" t="n">
        <x:f>F8+MAX(0,E7,E9)/SUM(CashFlows!D29:I29)</x:f>
        <x:v>25.91987175195123</x:v>
      </x:c>
      <x:c r="H8" s="18" t="n">
        <x:f>SUM(CashFlows!D27:E27)-Inputs!D22</x:f>
        <x:v>6.1</x:v>
      </x:c>
      <x:c r="I8" s="2"/>
      <x:c r="J8" s="2"/>
      <x:c r="K8" s="2"/>
      <x:c r="L8" s="2"/>
      <x:c r="M8" s="2"/>
    </x:row>
    <x:row r="9" ht="23" customHeight="1">
      <x:c r="A9" s="1"/>
      <x:c r="B9" s="1"/>
      <x:c r="C9" s="1" t="str">
        <x:v>C - Short exclusive window</x:v>
      </x:c>
      <x:c r="D9" s="18" t="n">
        <x:f>Inputs!D28</x:f>
        <x:v>31</x:v>
      </x:c>
      <x:c r="E9" s="18" t="n">
        <x:f>CashFlows!D46</x:f>
        <x:v>12.932527546278314</x:v>
      </x:c>
      <x:c r="F9" s="18" t="n">
        <x:f>(SUM(CashFlows!D44:I44)+Inputs!D29)/SUM(CashFlows!D43:I43)</x:f>
        <x:v>15.643303057125488</x:v>
      </x:c>
      <x:c r="G9" s="18" t="n">
        <x:f>F9+MAX(0,E7,E8)/SUM(CashFlows!D43:I43)</x:f>
        <x:v>29.17608538279979</x:v>
      </x:c>
      <x:c r="H9" s="18" t="n">
        <x:f>SUM(CashFlows!D41:E41)-Inputs!D29</x:f>
        <x:v>15.299999999999997</x:v>
      </x:c>
      <x:c r="I9" s="2"/>
      <x:c r="J9" s="2"/>
      <x:c r="K9" s="2"/>
      <x:c r="L9" s="2"/>
      <x:c r="M9" s="2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27" t="str">
        <x:v>Preferred alternative</x:v>
      </x:c>
      <x:c r="D12" s="29" t="str">
        <x:f>IF(MAX(E7:E9)&lt;=0,"No deal",INDEX(C7:C9,MATCH(MAX(E7:E9),E7:E9,0)))</x:f>
        <x:v>C - Short exclusive window</x:v>
      </x:c>
      <x:c r="E12" s="29"/>
      <x:c r="F12" s="29"/>
      <x:c r="G12" s="29"/>
      <x:c r="H12" s="29"/>
      <x:c r="I12" s="2"/>
      <x:c r="J12" s="2"/>
      <x:c r="K12" s="2"/>
      <x:c r="L12" s="2"/>
      <x:c r="M12" s="2"/>
    </x:row>
    <x:row r="13" ht="23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45" customHeight="1">
      <x:c r="A14" s="1"/>
      <x:c r="B14" s="1"/>
      <x:c r="C14" s="14" t="str">
        <x:v>Fee floor covers the no-deal baseline. The higher competing-offer threshold covers the best available alternative. All values reflect cash economics, not booked revenue.</x:v>
      </x:c>
      <x:c r="D14" s="15"/>
      <x:c r="E14" s="15"/>
      <x:c r="F14" s="15"/>
      <x:c r="G14" s="15"/>
      <x:c r="H14" s="15"/>
      <x:c r="I14" s="2"/>
      <x:c r="J14" s="2"/>
      <x:c r="K14" s="2"/>
      <x:c r="L14" s="2"/>
      <x:c r="M14" s="2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1" t="str">
        <x:v>Input completeness</x:v>
      </x:c>
      <x:c r="D16" s="18" t="str">
        <x:f>Inputs!D44</x:f>
        <x:v>OK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</x:sheetData>
  <x:mergeCells>
    <x:mergeCell ref="C2:I2"/>
    <x:mergeCell ref="C3:I3"/>
    <x:mergeCell ref="D12:H12"/>
    <x:mergeCell ref="C14:H14"/>
  </x:mergeCells>
  <x:pageMargins left="0.7" right="0.7" top="0.75" bottom="0.75" header="0.3" footer="0.3"/>
  <x:drawing xmlns:r="http://schemas.openxmlformats.org/officeDocument/2006/relationships" r:id="R03819d116d734a70"/>
</x:worksheet>
</file>

<file path=xl/worksheets/sheet2.xml><?xml version="1.0" encoding="utf-8"?>
<x:worksheet xmlns:x="http://schemas.openxmlformats.org/spreadsheetml/2006/main">
  <x:sheetPr>
    <x:tabColor rgb="FF007F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3" t="str">
        <x:v>Competing offers &amp; cash-flow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4" t="str">
        <x:v>INDEPENDENT CASE STUDY  •  FICTIONAL TITLE ASSUMPTIONS  •  USD MILLIONS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 t="str">
        <x:v>Annual discount rate</x:v>
      </x:c>
      <x:c r="D5" s="7" t="n">
        <x:v>0.1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1" t="str">
        <x:v>Participation / residual proxy</x:v>
      </x:c>
      <x:c r="D6" s="7" t="n">
        <x:v>0.1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"/>
      <x:c r="B8" s="1"/>
      <x:c r="C8" s="1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1"/>
      <x:c r="B9" s="1"/>
      <x:c r="C9" s="10"/>
      <x:c r="D9" s="11" t="str">
        <x:v>H1</x:v>
      </x:c>
      <x:c r="E9" s="11" t="str">
        <x:v>H2</x:v>
      </x:c>
      <x:c r="F9" s="11" t="str">
        <x:v>H3</x:v>
      </x:c>
      <x:c r="G9" s="11" t="str">
        <x:v>H4</x:v>
      </x:c>
      <x:c r="H9" s="11" t="str">
        <x:v>H5</x:v>
      </x:c>
      <x:c r="I9" s="11" t="str">
        <x:v>H6</x:v>
      </x:c>
      <x:c r="J9" s="2"/>
      <x:c r="K9" s="2"/>
      <x:c r="L9" s="2"/>
      <x:c r="M9" s="2"/>
    </x:row>
    <x:row r="10" ht="23" customHeight="1">
      <x:c r="A10" s="1"/>
      <x:c r="B10" s="1"/>
      <x:c r="C10" s="1" t="str">
        <x:v>No-deal baseline gross cash</x:v>
      </x:c>
      <x:c r="D10" s="6" t="n">
        <x:v>6</x:v>
      </x:c>
      <x:c r="E10" s="6" t="n">
        <x:v>6</x:v>
      </x:c>
      <x:c r="F10" s="6" t="n">
        <x:v>5</x:v>
      </x:c>
      <x:c r="G10" s="6" t="n">
        <x:v>5</x:v>
      </x:c>
      <x:c r="H10" s="6" t="n">
        <x:v>4</x:v>
      </x:c>
      <x:c r="I10" s="6" t="n">
        <x:v>4</x:v>
      </x:c>
      <x:c r="J10" s="2"/>
      <x:c r="K10" s="2"/>
      <x:c r="L10" s="2"/>
      <x:c r="M10" s="2"/>
    </x:row>
    <x:row r="11" ht="23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"/>
      <x:c r="B12" s="1"/>
      <x:c r="C12" s="1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1"/>
      <x:c r="B13" s="1"/>
      <x:c r="C13" s="10" t="str">
        <x:v>A - Full-term exclusive</x:v>
      </x:c>
      <x:c r="D13" s="11"/>
      <x:c r="E13" s="11"/>
      <x:c r="F13" s="11"/>
      <x:c r="G13" s="11"/>
      <x:c r="H13" s="11"/>
      <x:c r="I13" s="11"/>
      <x:c r="J13" s="2"/>
      <x:c r="K13" s="2"/>
      <x:c r="L13" s="2"/>
      <x:c r="M13" s="2"/>
    </x:row>
    <x:row r="14" ht="23" customHeight="1">
      <x:c r="A14" s="1"/>
      <x:c r="B14" s="1"/>
      <x:c r="C14" s="1" t="str">
        <x:v>Total fee</x:v>
      </x:c>
      <x:c r="D14" s="6" t="n">
        <x:v>42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1"/>
      <x:c r="B15" s="1"/>
      <x:c r="C15" s="1" t="str">
        <x:v>Delivery cost at time zero</x:v>
      </x:c>
      <x:c r="D15" s="6" t="n">
        <x:v>1.5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"/>
      <x:c r="B16" s="1"/>
      <x:c r="C16" s="1" t="str">
        <x:v>Payment fraction by half-year</x:v>
      </x:c>
      <x:c r="D16" s="7" t="n">
        <x:v>0.5</x:v>
      </x:c>
      <x:c r="E16" s="7" t="n">
        <x:v>0</x:v>
      </x:c>
      <x:c r="F16" s="7" t="n">
        <x:v>0.5</x:v>
      </x:c>
      <x:c r="G16" s="7" t="n">
        <x:v>0</x:v>
      </x:c>
      <x:c r="H16" s="7" t="n">
        <x:v>0</x:v>
      </x:c>
      <x:c r="I16" s="7" t="n">
        <x:v>0</x:v>
      </x:c>
      <x:c r="J16" s="2"/>
      <x:c r="K16" s="2"/>
      <x:c r="L16" s="2"/>
      <x:c r="M16" s="2"/>
    </x:row>
    <x:row r="17" ht="23" customHeight="1">
      <x:c r="A17" s="1"/>
      <x:c r="B17" s="1"/>
      <x:c r="C17" s="1" t="str">
        <x:v>Retained baseline fraction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2"/>
      <x:c r="K17" s="2"/>
      <x:c r="L17" s="2"/>
      <x:c r="M17" s="2"/>
    </x:row>
    <x:row r="18" ht="23" customHeight="1">
      <x:c r="A18" s="1"/>
      <x:c r="B18" s="1"/>
      <x:c r="C18" s="1" t="str">
        <x:v>Payment fraction check</x:v>
      </x:c>
      <x:c r="D18" s="2" t="n">
        <x:f>SUM(D16:I16)-1</x:f>
        <x:v>0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10" t="str">
        <x:v>B - Non-exclusive license</x:v>
      </x:c>
      <x:c r="D20" s="11"/>
      <x:c r="E20" s="11"/>
      <x:c r="F20" s="11"/>
      <x:c r="G20" s="11"/>
      <x:c r="H20" s="11"/>
      <x:c r="I20" s="11"/>
      <x:c r="J20" s="2"/>
      <x:c r="K20" s="2"/>
      <x:c r="L20" s="2"/>
      <x:c r="M20" s="2"/>
    </x:row>
    <x:row r="21" ht="23" customHeight="1">
      <x:c r="A21" s="1"/>
      <x:c r="B21" s="1"/>
      <x:c r="C21" s="1" t="str">
        <x:v>Total fee</x:v>
      </x:c>
      <x:c r="D21" s="6" t="n">
        <x:v>24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1"/>
      <x:c r="B22" s="1"/>
      <x:c r="C22" s="1" t="str">
        <x:v>Delivery cost at time zero</x:v>
      </x:c>
      <x:c r="D22" s="6" t="n">
        <x:v>2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1"/>
      <x:c r="B23" s="1"/>
      <x:c r="C23" s="1" t="str">
        <x:v>Payment fraction by half-year</x:v>
      </x:c>
      <x:c r="D23" s="7" t="n">
        <x:v>0.25</x:v>
      </x:c>
      <x:c r="E23" s="7" t="n">
        <x:v>0.25</x:v>
      </x:c>
      <x:c r="F23" s="7" t="n">
        <x:v>0.25</x:v>
      </x:c>
      <x:c r="G23" s="7" t="n">
        <x:v>0.25</x:v>
      </x:c>
      <x:c r="H23" s="7" t="n">
        <x:v>0</x:v>
      </x:c>
      <x:c r="I23" s="7" t="n">
        <x:v>0</x:v>
      </x:c>
      <x:c r="J23" s="2"/>
      <x:c r="K23" s="2"/>
      <x:c r="L23" s="2"/>
      <x:c r="M23" s="2"/>
    </x:row>
    <x:row r="24" ht="23" customHeight="1">
      <x:c r="A24" s="1"/>
      <x:c r="B24" s="1"/>
      <x:c r="C24" s="1" t="str">
        <x:v>Retained baseline fraction</x:v>
      </x:c>
      <x:c r="D24" s="7" t="n">
        <x:v>0.75</x:v>
      </x:c>
      <x:c r="E24" s="7" t="n">
        <x:v>0.75</x:v>
      </x:c>
      <x:c r="F24" s="7" t="n">
        <x:v>0.75</x:v>
      </x:c>
      <x:c r="G24" s="7" t="n">
        <x:v>0.75</x:v>
      </x:c>
      <x:c r="H24" s="7" t="n">
        <x:v>0.75</x:v>
      </x:c>
      <x:c r="I24" s="7" t="n">
        <x:v>0.75</x:v>
      </x:c>
      <x:c r="J24" s="2"/>
      <x:c r="K24" s="2"/>
      <x:c r="L24" s="2"/>
      <x:c r="M24" s="2"/>
    </x:row>
    <x:row r="25" ht="23" customHeight="1">
      <x:c r="A25" s="1"/>
      <x:c r="B25" s="1"/>
      <x:c r="C25" s="1" t="str">
        <x:v>Payment fraction check</x:v>
      </x:c>
      <x:c r="D25" s="2" t="n">
        <x:f>SUM(D23:I23)-1</x:f>
        <x:v>0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1"/>
      <x:c r="B27" s="1"/>
      <x:c r="C27" s="10" t="str">
        <x:v>C - Short exclusive window</x:v>
      </x:c>
      <x:c r="D27" s="11"/>
      <x:c r="E27" s="11"/>
      <x:c r="F27" s="11"/>
      <x:c r="G27" s="11"/>
      <x:c r="H27" s="11"/>
      <x:c r="I27" s="11"/>
      <x:c r="J27" s="2"/>
      <x:c r="K27" s="2"/>
      <x:c r="L27" s="2"/>
      <x:c r="M27" s="2"/>
    </x:row>
    <x:row r="28" ht="23" customHeight="1">
      <x:c r="A28" s="1"/>
      <x:c r="B28" s="1"/>
      <x:c r="C28" s="1" t="str">
        <x:v>Total fee</x:v>
      </x:c>
      <x:c r="D28" s="6" t="n">
        <x:v>31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1"/>
      <x:c r="B29" s="1"/>
      <x:c r="C29" s="1" t="str">
        <x:v>Delivery cost at time zero</x:v>
      </x:c>
      <x:c r="D29" s="6" t="n">
        <x:v>1.8</x:v>
      </x:c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1"/>
      <x:c r="B30" s="1"/>
      <x:c r="C30" s="1" t="str">
        <x:v>Payment fraction by half-year</x:v>
      </x:c>
      <x:c r="D30" s="7" t="n">
        <x:v>0.6</x:v>
      </x:c>
      <x:c r="E30" s="7" t="n">
        <x:v>0.4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2"/>
      <x:c r="K30" s="2"/>
      <x:c r="L30" s="2"/>
      <x:c r="M30" s="2"/>
    </x:row>
    <x:row r="31" ht="23" customHeight="1">
      <x:c r="A31" s="1"/>
      <x:c r="B31" s="1"/>
      <x:c r="C31" s="1" t="str">
        <x:v>Retained baseline fraction</x:v>
      </x:c>
      <x:c r="D31" s="7" t="n">
        <x:v>0</x:v>
      </x:c>
      <x:c r="E31" s="7" t="n">
        <x:v>0</x:v>
      </x:c>
      <x:c r="F31" s="7" t="n">
        <x:v>0.9</x:v>
      </x:c>
      <x:c r="G31" s="7" t="n">
        <x:v>0.9</x:v>
      </x:c>
      <x:c r="H31" s="7" t="n">
        <x:v>0.9</x:v>
      </x:c>
      <x:c r="I31" s="7" t="n">
        <x:v>0.9</x:v>
      </x:c>
      <x:c r="J31" s="2"/>
      <x:c r="K31" s="2"/>
      <x:c r="L31" s="2"/>
      <x:c r="M31" s="2"/>
    </x:row>
    <x:row r="32" ht="23" customHeight="1">
      <x:c r="A32" s="1"/>
      <x:c r="B32" s="1"/>
      <x:c r="C32" s="1" t="str">
        <x:v>Payment fraction check</x:v>
      </x:c>
      <x:c r="D32" s="2" t="n">
        <x:f>SUM(D30:I30)-1</x:f>
        <x:v>0</x:v>
      </x:c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45" customHeight="1">
      <x:c r="A35" s="1"/>
      <x:c r="B35" s="1"/>
      <x:c r="C35" s="14" t="str">
        <x:v>Fictional package: twelve completed series, US English-language rights, three-year horizon. The offers are alternatives, not additive. Cash is paid at half-year end; setup cost at time zero. Blue cells are editable.</x:v>
      </x:c>
      <x:c r="D35" s="15"/>
      <x:c r="E35" s="15"/>
      <x:c r="F35" s="15"/>
      <x:c r="G35" s="15"/>
      <x:c r="H35" s="15"/>
      <x:c r="I35" s="15"/>
      <x:c r="J35" s="15"/>
      <x:c r="K35" s="2"/>
      <x:c r="L35" s="2"/>
      <x:c r="M35" s="2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60" customHeight="1">
      <x:c r="A38" s="1"/>
      <x:c r="B38" s="1"/>
      <x:c r="C38" s="14" t="str">
        <x:v>Public context: Sony raised its FY2026 Pictures operating-income forecast by ¥5bn, citing higher TV catalog licensing. Source: July 31, 2026 earnings presentation, slide 13. https://www.sony.com/en/SonyInfo/IR/library/presen/er/pdf/26q1_sonypre.pdf</x:v>
      </x:c>
      <x:c r="D38" s="15"/>
      <x:c r="E38" s="15"/>
      <x:c r="F38" s="15"/>
      <x:c r="G38" s="15"/>
      <x:c r="H38" s="15"/>
      <x:c r="I38" s="15"/>
      <x:c r="J38" s="15"/>
      <x:c r="K38" s="2"/>
      <x:c r="L38" s="2"/>
      <x:c r="M38" s="2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45" customHeight="1">
      <x:c r="A41" s="1"/>
      <x:c r="B41" s="1"/>
      <x:c r="C41" s="14" t="str">
        <x:v>Retention estimates explicitly capture foregone/cannibalized baseline cash. Assumes the same participation rate for baseline and offers; excludes taxes, credit losses, terminal value, renewals and revenue recognition.</x:v>
      </x:c>
      <x:c r="D41" s="15"/>
      <x:c r="E41" s="15"/>
      <x:c r="F41" s="15"/>
      <x:c r="G41" s="15"/>
      <x:c r="H41" s="15"/>
      <x:c r="I41" s="15"/>
      <x:c r="J41" s="15"/>
      <x:c r="K41" s="2"/>
      <x:c r="L41" s="2"/>
      <x:c r="M41" s="2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3" customHeight="1">
      <x:c r="A44" s="1"/>
      <x:c r="B44" s="1"/>
      <x:c r="C44" s="1" t="str">
        <x:v>Inputs / payment fraction check</x:v>
      </x:c>
      <x:c r="D44" s="2" t="str">
        <x:f>IF(AND(COUNT(D5:D6,D10:I10,D14:D15,D16:I17,D21:D22,D23:I24,D28:D29,D30:I31)=50,ABS(D18)+ABS(D25)+ABS(D32)&lt;0.00000001,D6&lt;1),"OK","REVIEW INPUTS")</x:f>
        <x:v>OK</x:v>
      </x:c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</x:sheetData>
  <x:mergeCells>
    <x:mergeCell ref="C2:I2"/>
    <x:mergeCell ref="C3:I3"/>
    <x:mergeCell ref="C13:I13"/>
    <x:mergeCell ref="C20:I20"/>
    <x:mergeCell ref="C27:I27"/>
    <x:mergeCell ref="C35:J35"/>
    <x:mergeCell ref="C38:J38"/>
    <x:mergeCell ref="C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F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3" t="str">
        <x:v>Incremental deal economics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4" t="str">
        <x:v>INDEPENDENT CASE STUDY  •  FICTIONAL TITLE ASSUMPTIONS  •  USD MILLIONS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1"/>
      <x:c r="B6" s="1"/>
      <x:c r="C6" s="10" t="str">
        <x:v>A - Full-term exclusive</x:v>
      </x:c>
      <x:c r="D6" s="11"/>
      <x:c r="E6" s="11"/>
      <x:c r="F6" s="11"/>
      <x:c r="G6" s="11"/>
      <x:c r="H6" s="11"/>
      <x:c r="I6" s="11"/>
      <x:c r="J6" s="2"/>
      <x:c r="K6" s="2"/>
      <x:c r="L6" s="2"/>
      <x:c r="M6" s="2"/>
    </x:row>
    <x:row r="7" ht="23" customHeight="1">
      <x:c r="A7" s="1"/>
      <x:c r="B7" s="1"/>
      <x:c r="C7" s="1" t="str">
        <x:v>Half-year</x:v>
      </x:c>
      <x:c r="D7" s="19" t="n">
        <x:v>1</x:v>
      </x:c>
      <x:c r="E7" s="19" t="n">
        <x:v>2</x:v>
      </x:c>
      <x:c r="F7" s="19" t="n">
        <x:v>3</x:v>
      </x:c>
      <x:c r="G7" s="19" t="n">
        <x:v>4</x:v>
      </x:c>
      <x:c r="H7" s="19" t="n">
        <x:v>5</x:v>
      </x:c>
      <x:c r="I7" s="19" t="n">
        <x:v>6</x:v>
      </x:c>
      <x:c r="J7" s="2"/>
      <x:c r="K7" s="2"/>
      <x:c r="L7" s="2"/>
      <x:c r="M7" s="2"/>
    </x:row>
    <x:row r="8" ht="23" customHeight="1">
      <x:c r="A8" s="1"/>
      <x:c r="B8" s="1"/>
      <x:c r="C8" s="1" t="str">
        <x:v>Baseline gross cash</x:v>
      </x:c>
      <x:c r="D8" s="18" t="n">
        <x:f>Inputs!D10</x:f>
        <x:v>6</x:v>
      </x:c>
      <x:c r="E8" s="18" t="n">
        <x:f>Inputs!E10</x:f>
        <x:v>6</x:v>
      </x:c>
      <x:c r="F8" s="18" t="n">
        <x:f>Inputs!F10</x:f>
        <x:v>5</x:v>
      </x:c>
      <x:c r="G8" s="18" t="n">
        <x:f>Inputs!G10</x:f>
        <x:v>5</x:v>
      </x:c>
      <x:c r="H8" s="18" t="n">
        <x:f>Inputs!H10</x:f>
        <x:v>4</x:v>
      </x:c>
      <x:c r="I8" s="18" t="n">
        <x:f>Inputs!I10</x:f>
        <x:v>4</x:v>
      </x:c>
      <x:c r="J8" s="2"/>
      <x:c r="K8" s="2"/>
      <x:c r="L8" s="2"/>
      <x:c r="M8" s="2"/>
    </x:row>
    <x:row r="9" ht="23" customHeight="1">
      <x:c r="A9" s="1"/>
      <x:c r="B9" s="1"/>
      <x:c r="C9" s="1" t="str">
        <x:v>Discount factor</x:v>
      </x:c>
      <x:c r="D9" s="20" t="n">
        <x:f>(1+Inputs!$D$5)^(-D7/2)</x:f>
        <x:v>0.9534625892455922</x:v>
      </x:c>
      <x:c r="E9" s="20" t="n">
        <x:f>(1+Inputs!$D$5)^(-E7/2)</x:f>
        <x:v>0.9090909090909091</x:v>
      </x:c>
      <x:c r="F9" s="20" t="n">
        <x:f>(1+Inputs!$D$5)^(-F7/2)</x:f>
        <x:v>0.8667841720414474</x:v>
      </x:c>
      <x:c r="G9" s="20" t="n">
        <x:f>(1+Inputs!$D$5)^(-G7/2)</x:f>
        <x:v>0.8264462809917354</x:v>
      </x:c>
      <x:c r="H9" s="20" t="n">
        <x:f>(1+Inputs!$D$5)^(-H7/2)</x:f>
        <x:v>0.7879856109467703</x:v>
      </x:c>
      <x:c r="I9" s="20" t="n">
        <x:f>(1+Inputs!$D$5)^(-I7/2)</x:f>
        <x:v>0.7513148009015775</x:v>
      </x:c>
      <x:c r="J9" s="2"/>
      <x:c r="K9" s="2"/>
      <x:c r="L9" s="2"/>
      <x:c r="M9" s="2"/>
    </x:row>
    <x:row r="10" ht="23" customHeight="1">
      <x:c r="A10" s="1"/>
      <x:c r="B10" s="1"/>
      <x:c r="C10" s="1" t="str">
        <x:v>Deal fee receipts</x:v>
      </x:c>
      <x:c r="D10" s="18" t="n">
        <x:f>Inputs!$D$14*Inputs!D16</x:f>
        <x:v>21</x:v>
      </x:c>
      <x:c r="E10" s="18" t="n">
        <x:f>Inputs!$D$14*Inputs!E16</x:f>
        <x:v>0</x:v>
      </x:c>
      <x:c r="F10" s="18" t="n">
        <x:f>Inputs!$D$14*Inputs!F16</x:f>
        <x:v>21</x:v>
      </x:c>
      <x:c r="G10" s="18" t="n">
        <x:f>Inputs!$D$14*Inputs!G16</x:f>
        <x:v>0</x:v>
      </x:c>
      <x:c r="H10" s="18" t="n">
        <x:f>Inputs!$D$14*Inputs!H16</x:f>
        <x:v>0</x:v>
      </x:c>
      <x:c r="I10" s="18" t="n">
        <x:f>Inputs!$D$14*Inputs!I16</x:f>
        <x:v>0</x:v>
      </x:c>
      <x:c r="J10" s="2"/>
      <x:c r="K10" s="2"/>
      <x:c r="L10" s="2"/>
      <x:c r="M10" s="2"/>
    </x:row>
    <x:row r="11" ht="23" customHeight="1">
      <x:c r="A11" s="1"/>
      <x:c r="B11" s="1"/>
      <x:c r="C11" s="1" t="str">
        <x:v>Retained baseline cash</x:v>
      </x:c>
      <x:c r="D11" s="18" t="n">
        <x:f>D8*Inputs!D17</x:f>
        <x:v>0</x:v>
      </x:c>
      <x:c r="E11" s="18" t="n">
        <x:f>E8*Inputs!E17</x:f>
        <x:v>0</x:v>
      </x:c>
      <x:c r="F11" s="18" t="n">
        <x:f>F8*Inputs!F17</x:f>
        <x:v>0</x:v>
      </x:c>
      <x:c r="G11" s="18" t="n">
        <x:f>G8*Inputs!G17</x:f>
        <x:v>0</x:v>
      </x:c>
      <x:c r="H11" s="18" t="n">
        <x:f>H8*Inputs!H17</x:f>
        <x:v>0</x:v>
      </x:c>
      <x:c r="I11" s="18" t="n">
        <x:f>I8*Inputs!I17</x:f>
        <x:v>0</x:v>
      </x:c>
      <x:c r="J11" s="2"/>
      <x:c r="K11" s="2"/>
      <x:c r="L11" s="2"/>
      <x:c r="M11" s="2"/>
    </x:row>
    <x:row r="12" ht="23" customHeight="1">
      <x:c r="A12" s="1"/>
      <x:c r="B12" s="1"/>
      <x:c r="C12" s="1" t="str">
        <x:v>Foregone baseline cash</x:v>
      </x:c>
      <x:c r="D12" s="2" t="n">
        <x:f>D8-D11</x:f>
        <x:v>6</x:v>
      </x:c>
      <x:c r="E12" s="2" t="n">
        <x:f>E8-E11</x:f>
        <x:v>6</x:v>
      </x:c>
      <x:c r="F12" s="2" t="n">
        <x:f>F8-F11</x:f>
        <x:v>5</x:v>
      </x:c>
      <x:c r="G12" s="2" t="n">
        <x:f>G8-G11</x:f>
        <x:v>5</x:v>
      </x:c>
      <x:c r="H12" s="2" t="n">
        <x:f>H8-H11</x:f>
        <x:v>4</x:v>
      </x:c>
      <x:c r="I12" s="2" t="n">
        <x:f>I8-I11</x:f>
        <x:v>4</x:v>
      </x:c>
      <x:c r="J12" s="2"/>
      <x:c r="K12" s="2"/>
      <x:c r="L12" s="2"/>
      <x:c r="M12" s="2"/>
    </x:row>
    <x:row r="13" ht="23" customHeight="1">
      <x:c r="A13" s="1"/>
      <x:c r="B13" s="1"/>
      <x:c r="C13" s="1" t="str">
        <x:v>Incremental after participation</x:v>
      </x:c>
      <x:c r="D13" s="18" t="n">
        <x:f>(D10-D12)*(1-Inputs!$D$6)</x:f>
        <x:v>13.5</x:v>
      </x:c>
      <x:c r="E13" s="18" t="n">
        <x:f>(E10-E12)*(1-Inputs!$D$6)</x:f>
        <x:v>-5.4</x:v>
      </x:c>
      <x:c r="F13" s="18" t="n">
        <x:f>(F10-F12)*(1-Inputs!$D$6)</x:f>
        <x:v>14.4</x:v>
      </x:c>
      <x:c r="G13" s="18" t="n">
        <x:f>(G10-G12)*(1-Inputs!$D$6)</x:f>
        <x:v>-4.5</x:v>
      </x:c>
      <x:c r="H13" s="18" t="n">
        <x:f>(H10-H12)*(1-Inputs!$D$6)</x:f>
        <x:v>-3.6</x:v>
      </x:c>
      <x:c r="I13" s="18" t="n">
        <x:f>(I10-I12)*(1-Inputs!$D$6)</x:f>
        <x:v>-3.6</x:v>
      </x:c>
      <x:c r="J13" s="2"/>
      <x:c r="K13" s="2"/>
      <x:c r="L13" s="2"/>
      <x:c r="M13" s="2"/>
    </x:row>
    <x:row r="14" ht="23" customHeight="1">
      <x:c r="A14" s="1"/>
      <x:c r="B14" s="1"/>
      <x:c r="C14" s="1" t="str">
        <x:v>Present value of incremental cash</x:v>
      </x:c>
      <x:c r="D14" s="2" t="n">
        <x:f>D13*D9</x:f>
        <x:v>12.871744954815496</x:v>
      </x:c>
      <x:c r="E14" s="2" t="n">
        <x:f>E13*E9</x:f>
        <x:v>-4.909090909090909</x:v>
      </x:c>
      <x:c r="F14" s="2" t="n">
        <x:f>F13*F9</x:f>
        <x:v>12.481692077396843</x:v>
      </x:c>
      <x:c r="G14" s="2" t="n">
        <x:f>G13*G9</x:f>
        <x:v>-3.7190082644628095</x:v>
      </x:c>
      <x:c r="H14" s="2" t="n">
        <x:f>H13*H9</x:f>
        <x:v>-2.8367481994083734</x:v>
      </x:c>
      <x:c r="I14" s="2" t="n">
        <x:f>I13*I9</x:f>
        <x:v>-2.7047332832456794</x:v>
      </x:c>
      <x:c r="J14" s="2"/>
      <x:c r="K14" s="2"/>
      <x:c r="L14" s="2"/>
      <x:c r="M14" s="2"/>
    </x:row>
    <x:row r="15" ht="23" customHeight="1">
      <x:c r="A15" s="1"/>
      <x:c r="B15" s="1"/>
      <x:c r="C15" s="1" t="str">
        <x:v>Fee PV factor after participation</x:v>
      </x:c>
      <x:c r="D15" s="20" t="n">
        <x:f>Inputs!D16*(1-Inputs!$D$6)*D9</x:f>
        <x:v>0.42905816516051654</x:v>
      </x:c>
      <x:c r="E15" s="20" t="n">
        <x:f>Inputs!E16*(1-Inputs!$D$6)*E9</x:f>
        <x:v>0</x:v>
      </x:c>
      <x:c r="F15" s="20" t="n">
        <x:f>Inputs!F16*(1-Inputs!$D$6)*F9</x:f>
        <x:v>0.39005287741865136</x:v>
      </x:c>
      <x:c r="G15" s="20" t="n">
        <x:f>Inputs!G16*(1-Inputs!$D$6)*G9</x:f>
        <x:v>0</x:v>
      </x:c>
      <x:c r="H15" s="20" t="n">
        <x:f>Inputs!H16*(1-Inputs!$D$6)*H9</x:f>
        <x:v>0</x:v>
      </x:c>
      <x:c r="I15" s="20" t="n">
        <x:f>Inputs!I16*(1-Inputs!$D$6)*I9</x:f>
        <x:v>0</x:v>
      </x:c>
      <x:c r="J15" s="2"/>
      <x:c r="K15" s="2"/>
      <x:c r="L15" s="2"/>
      <x:c r="M15" s="2"/>
    </x:row>
    <x:row r="16" ht="23" customHeight="1">
      <x:c r="A16" s="1"/>
      <x:c r="B16" s="1"/>
      <x:c r="C16" s="1" t="str">
        <x:v>Foregone contribution PV</x:v>
      </x:c>
      <x:c r="D16" s="18" t="n">
        <x:f>D12*(1-Inputs!$D$6)*D9</x:f>
        <x:v>5.148697981926198</x:v>
      </x:c>
      <x:c r="E16" s="18" t="n">
        <x:f>E12*(1-Inputs!$D$6)*E9</x:f>
        <x:v>4.909090909090909</x:v>
      </x:c>
      <x:c r="F16" s="18" t="n">
        <x:f>F12*(1-Inputs!$D$6)*F9</x:f>
        <x:v>3.9005287741865136</x:v>
      </x:c>
      <x:c r="G16" s="18" t="n">
        <x:f>G12*(1-Inputs!$D$6)*G9</x:f>
        <x:v>3.7190082644628095</x:v>
      </x:c>
      <x:c r="H16" s="18" t="n">
        <x:f>H12*(1-Inputs!$D$6)*H9</x:f>
        <x:v>2.8367481994083734</x:v>
      </x:c>
      <x:c r="I16" s="18" t="n">
        <x:f>I12*(1-Inputs!$D$6)*I9</x:f>
        <x:v>2.7047332832456794</x:v>
      </x:c>
      <x:c r="J16" s="2"/>
      <x:c r="K16" s="2"/>
      <x:c r="L16" s="2"/>
      <x:c r="M16" s="2"/>
    </x:row>
    <x:row r="17" ht="23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"/>
      <x:c r="B18" s="1"/>
      <x:c r="C18" s="27" t="str">
        <x:v>Incremental NPV</x:v>
      </x:c>
      <x:c r="D18" s="28" t="n">
        <x:f>SUM(D14:I14)-Inputs!D15</x:f>
        <x:v>9.683856376004567</x:v>
      </x:c>
      <x:c r="E18" s="29"/>
      <x:c r="F18" s="29"/>
      <x:c r="G18" s="29"/>
      <x:c r="H18" s="29"/>
      <x:c r="I18" s="29"/>
      <x:c r="J18" s="2"/>
      <x:c r="K18" s="2"/>
      <x:c r="L18" s="2"/>
      <x:c r="M18" s="2"/>
    </x:row>
    <x:row r="19" ht="23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"/>
      <x:c r="B20" s="1"/>
      <x:c r="C20" s="10" t="str">
        <x:v>B - Non-exclusive license</x:v>
      </x:c>
      <x:c r="D20" s="11"/>
      <x:c r="E20" s="11"/>
      <x:c r="F20" s="11"/>
      <x:c r="G20" s="11"/>
      <x:c r="H20" s="11"/>
      <x:c r="I20" s="11"/>
      <x:c r="J20" s="2"/>
      <x:c r="K20" s="2"/>
      <x:c r="L20" s="2"/>
      <x:c r="M20" s="2"/>
    </x:row>
    <x:row r="21" ht="23" customHeight="1">
      <x:c r="A21" s="1"/>
      <x:c r="B21" s="1"/>
      <x:c r="C21" s="1" t="str">
        <x:v>Half-year</x:v>
      </x:c>
      <x:c r="D21" s="19" t="n">
        <x:v>1</x:v>
      </x:c>
      <x:c r="E21" s="19" t="n">
        <x:v>2</x:v>
      </x:c>
      <x:c r="F21" s="19" t="n">
        <x:v>3</x:v>
      </x:c>
      <x:c r="G21" s="19" t="n">
        <x:v>4</x:v>
      </x:c>
      <x:c r="H21" s="19" t="n">
        <x:v>5</x:v>
      </x:c>
      <x:c r="I21" s="19" t="n">
        <x:v>6</x:v>
      </x:c>
      <x:c r="J21" s="2"/>
      <x:c r="K21" s="2"/>
      <x:c r="L21" s="2"/>
      <x:c r="M21" s="2"/>
    </x:row>
    <x:row r="22" ht="23" customHeight="1">
      <x:c r="A22" s="1"/>
      <x:c r="B22" s="1"/>
      <x:c r="C22" s="1" t="str">
        <x:v>Baseline gross cash</x:v>
      </x:c>
      <x:c r="D22" s="18" t="n">
        <x:f>Inputs!D10</x:f>
        <x:v>6</x:v>
      </x:c>
      <x:c r="E22" s="18" t="n">
        <x:f>Inputs!E10</x:f>
        <x:v>6</x:v>
      </x:c>
      <x:c r="F22" s="18" t="n">
        <x:f>Inputs!F10</x:f>
        <x:v>5</x:v>
      </x:c>
      <x:c r="G22" s="18" t="n">
        <x:f>Inputs!G10</x:f>
        <x:v>5</x:v>
      </x:c>
      <x:c r="H22" s="18" t="n">
        <x:f>Inputs!H10</x:f>
        <x:v>4</x:v>
      </x:c>
      <x:c r="I22" s="18" t="n">
        <x:f>Inputs!I10</x:f>
        <x:v>4</x:v>
      </x:c>
      <x:c r="J22" s="2"/>
      <x:c r="K22" s="2"/>
      <x:c r="L22" s="2"/>
      <x:c r="M22" s="2"/>
    </x:row>
    <x:row r="23" ht="23" customHeight="1">
      <x:c r="A23" s="1"/>
      <x:c r="B23" s="1"/>
      <x:c r="C23" s="1" t="str">
        <x:v>Discount factor</x:v>
      </x:c>
      <x:c r="D23" s="20" t="n">
        <x:f>(1+Inputs!$D$5)^(-D21/2)</x:f>
        <x:v>0.9534625892455922</x:v>
      </x:c>
      <x:c r="E23" s="20" t="n">
        <x:f>(1+Inputs!$D$5)^(-E21/2)</x:f>
        <x:v>0.9090909090909091</x:v>
      </x:c>
      <x:c r="F23" s="20" t="n">
        <x:f>(1+Inputs!$D$5)^(-F21/2)</x:f>
        <x:v>0.8667841720414474</x:v>
      </x:c>
      <x:c r="G23" s="20" t="n">
        <x:f>(1+Inputs!$D$5)^(-G21/2)</x:f>
        <x:v>0.8264462809917354</x:v>
      </x:c>
      <x:c r="H23" s="20" t="n">
        <x:f>(1+Inputs!$D$5)^(-H21/2)</x:f>
        <x:v>0.7879856109467703</x:v>
      </x:c>
      <x:c r="I23" s="20" t="n">
        <x:f>(1+Inputs!$D$5)^(-I21/2)</x:f>
        <x:v>0.7513148009015775</x:v>
      </x:c>
      <x:c r="J23" s="2"/>
      <x:c r="K23" s="2"/>
      <x:c r="L23" s="2"/>
      <x:c r="M23" s="2"/>
    </x:row>
    <x:row r="24" ht="23" customHeight="1">
      <x:c r="A24" s="1"/>
      <x:c r="B24" s="1"/>
      <x:c r="C24" s="1" t="str">
        <x:v>Deal fee receipts</x:v>
      </x:c>
      <x:c r="D24" s="18" t="n">
        <x:f>Inputs!$D$21*Inputs!D23</x:f>
        <x:v>6</x:v>
      </x:c>
      <x:c r="E24" s="18" t="n">
        <x:f>Inputs!$D$21*Inputs!E23</x:f>
        <x:v>6</x:v>
      </x:c>
      <x:c r="F24" s="18" t="n">
        <x:f>Inputs!$D$21*Inputs!F23</x:f>
        <x:v>6</x:v>
      </x:c>
      <x:c r="G24" s="18" t="n">
        <x:f>Inputs!$D$21*Inputs!G23</x:f>
        <x:v>6</x:v>
      </x:c>
      <x:c r="H24" s="18" t="n">
        <x:f>Inputs!$D$21*Inputs!H23</x:f>
        <x:v>0</x:v>
      </x:c>
      <x:c r="I24" s="18" t="n">
        <x:f>Inputs!$D$21*Inputs!I23</x:f>
        <x:v>0</x:v>
      </x:c>
      <x:c r="J24" s="2"/>
      <x:c r="K24" s="2"/>
      <x:c r="L24" s="2"/>
      <x:c r="M24" s="2"/>
    </x:row>
    <x:row r="25" ht="23" customHeight="1">
      <x:c r="A25" s="1"/>
      <x:c r="B25" s="1"/>
      <x:c r="C25" s="1" t="str">
        <x:v>Retained baseline cash</x:v>
      </x:c>
      <x:c r="D25" s="18" t="n">
        <x:f>D22*Inputs!D24</x:f>
        <x:v>4.5</x:v>
      </x:c>
      <x:c r="E25" s="18" t="n">
        <x:f>E22*Inputs!E24</x:f>
        <x:v>4.5</x:v>
      </x:c>
      <x:c r="F25" s="18" t="n">
        <x:f>F22*Inputs!F24</x:f>
        <x:v>3.75</x:v>
      </x:c>
      <x:c r="G25" s="18" t="n">
        <x:f>G22*Inputs!G24</x:f>
        <x:v>3.75</x:v>
      </x:c>
      <x:c r="H25" s="18" t="n">
        <x:f>H22*Inputs!H24</x:f>
        <x:v>3</x:v>
      </x:c>
      <x:c r="I25" s="18" t="n">
        <x:f>I22*Inputs!I24</x:f>
        <x:v>3</x:v>
      </x:c>
      <x:c r="J25" s="2"/>
      <x:c r="K25" s="2"/>
      <x:c r="L25" s="2"/>
      <x:c r="M25" s="2"/>
    </x:row>
    <x:row r="26" ht="23" customHeight="1">
      <x:c r="A26" s="1"/>
      <x:c r="B26" s="1"/>
      <x:c r="C26" s="1" t="str">
        <x:v>Foregone baseline cash</x:v>
      </x:c>
      <x:c r="D26" s="2" t="n">
        <x:f>D22-D25</x:f>
        <x:v>1.5</x:v>
      </x:c>
      <x:c r="E26" s="2" t="n">
        <x:f>E22-E25</x:f>
        <x:v>1.5</x:v>
      </x:c>
      <x:c r="F26" s="2" t="n">
        <x:f>F22-F25</x:f>
        <x:v>1.25</x:v>
      </x:c>
      <x:c r="G26" s="2" t="n">
        <x:f>G22-G25</x:f>
        <x:v>1.25</x:v>
      </x:c>
      <x:c r="H26" s="2" t="n">
        <x:f>H22-H25</x:f>
        <x:v>1</x:v>
      </x:c>
      <x:c r="I26" s="2" t="n">
        <x:f>I22-I25</x:f>
        <x:v>1</x:v>
      </x:c>
      <x:c r="J26" s="2"/>
      <x:c r="K26" s="2"/>
      <x:c r="L26" s="2"/>
      <x:c r="M26" s="2"/>
    </x:row>
    <x:row r="27" ht="23" customHeight="1">
      <x:c r="A27" s="1"/>
      <x:c r="B27" s="1"/>
      <x:c r="C27" s="1" t="str">
        <x:v>Incremental after participation</x:v>
      </x:c>
      <x:c r="D27" s="18" t="n">
        <x:f>(D24-D26)*(1-Inputs!$D$6)</x:f>
        <x:v>4.05</x:v>
      </x:c>
      <x:c r="E27" s="18" t="n">
        <x:f>(E24-E26)*(1-Inputs!$D$6)</x:f>
        <x:v>4.05</x:v>
      </x:c>
      <x:c r="F27" s="18" t="n">
        <x:f>(F24-F26)*(1-Inputs!$D$6)</x:f>
        <x:v>4.275</x:v>
      </x:c>
      <x:c r="G27" s="18" t="n">
        <x:f>(G24-G26)*(1-Inputs!$D$6)</x:f>
        <x:v>4.275</x:v>
      </x:c>
      <x:c r="H27" s="18" t="n">
        <x:f>(H24-H26)*(1-Inputs!$D$6)</x:f>
        <x:v>-0.9</x:v>
      </x:c>
      <x:c r="I27" s="18" t="n">
        <x:f>(I24-I26)*(1-Inputs!$D$6)</x:f>
        <x:v>-0.9</x:v>
      </x:c>
      <x:c r="J27" s="2"/>
      <x:c r="K27" s="2"/>
      <x:c r="L27" s="2"/>
      <x:c r="M27" s="2"/>
    </x:row>
    <x:row r="28" ht="23" customHeight="1">
      <x:c r="A28" s="1"/>
      <x:c r="B28" s="1"/>
      <x:c r="C28" s="1" t="str">
        <x:v>Present value of incremental cash</x:v>
      </x:c>
      <x:c r="D28" s="2" t="n">
        <x:f>D27*D23</x:f>
        <x:v>3.8615234864446486</x:v>
      </x:c>
      <x:c r="E28" s="2" t="n">
        <x:f>E27*E23</x:f>
        <x:v>3.6818181818181817</x:v>
      </x:c>
      <x:c r="F28" s="2" t="n">
        <x:f>F27*F23</x:f>
        <x:v>3.705502335477188</x:v>
      </x:c>
      <x:c r="G28" s="2" t="n">
        <x:f>G27*G23</x:f>
        <x:v>3.5330578512396693</x:v>
      </x:c>
      <x:c r="H28" s="2" t="n">
        <x:f>H27*H23</x:f>
        <x:v>-0.7091870498520934</x:v>
      </x:c>
      <x:c r="I28" s="2" t="n">
        <x:f>I27*I23</x:f>
        <x:v>-0.6761833208114199</x:v>
      </x:c>
      <x:c r="J28" s="2"/>
      <x:c r="K28" s="2"/>
      <x:c r="L28" s="2"/>
      <x:c r="M28" s="2"/>
    </x:row>
    <x:row r="29" ht="23" customHeight="1">
      <x:c r="A29" s="1"/>
      <x:c r="B29" s="1"/>
      <x:c r="C29" s="1" t="str">
        <x:v>Fee PV factor after participation</x:v>
      </x:c>
      <x:c r="D29" s="20" t="n">
        <x:f>Inputs!D23*(1-Inputs!$D$6)*D23</x:f>
        <x:v>0.21452908258025827</x:v>
      </x:c>
      <x:c r="E29" s="20" t="n">
        <x:f>Inputs!E23*(1-Inputs!$D$6)*E23</x:f>
        <x:v>0.20454545454545453</x:v>
      </x:c>
      <x:c r="F29" s="20" t="n">
        <x:f>Inputs!F23*(1-Inputs!$D$6)*F23</x:f>
        <x:v>0.19502643870932568</x:v>
      </x:c>
      <x:c r="G29" s="20" t="n">
        <x:f>Inputs!G23*(1-Inputs!$D$6)*G23</x:f>
        <x:v>0.1859504132231405</x:v>
      </x:c>
      <x:c r="H29" s="20" t="n">
        <x:f>Inputs!H23*(1-Inputs!$D$6)*H23</x:f>
        <x:v>0</x:v>
      </x:c>
      <x:c r="I29" s="20" t="n">
        <x:f>Inputs!I23*(1-Inputs!$D$6)*I23</x:f>
        <x:v>0</x:v>
      </x:c>
      <x:c r="J29" s="2"/>
      <x:c r="K29" s="2"/>
      <x:c r="L29" s="2"/>
      <x:c r="M29" s="2"/>
    </x:row>
    <x:row r="30" ht="23" customHeight="1">
      <x:c r="A30" s="1"/>
      <x:c r="B30" s="1"/>
      <x:c r="C30" s="1" t="str">
        <x:v>Foregone contribution PV</x:v>
      </x:c>
      <x:c r="D30" s="18" t="n">
        <x:f>D26*(1-Inputs!$D$6)*D23</x:f>
        <x:v>1.2871744954815496</x:v>
      </x:c>
      <x:c r="E30" s="18" t="n">
        <x:f>E26*(1-Inputs!$D$6)*E23</x:f>
        <x:v>1.2272727272727273</x:v>
      </x:c>
      <x:c r="F30" s="18" t="n">
        <x:f>F26*(1-Inputs!$D$6)*F23</x:f>
        <x:v>0.9751321935466284</x:v>
      </x:c>
      <x:c r="G30" s="18" t="n">
        <x:f>G26*(1-Inputs!$D$6)*G23</x:f>
        <x:v>0.9297520661157024</x:v>
      </x:c>
      <x:c r="H30" s="18" t="n">
        <x:f>H26*(1-Inputs!$D$6)*H23</x:f>
        <x:v>0.7091870498520934</x:v>
      </x:c>
      <x:c r="I30" s="18" t="n">
        <x:f>I26*(1-Inputs!$D$6)*I23</x:f>
        <x:v>0.6761833208114199</x:v>
      </x:c>
      <x:c r="J30" s="2"/>
      <x:c r="K30" s="2"/>
      <x:c r="L30" s="2"/>
      <x:c r="M30" s="2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3" customHeight="1">
      <x:c r="A32" s="1"/>
      <x:c r="B32" s="1"/>
      <x:c r="C32" s="27" t="str">
        <x:v>Incremental NPV</x:v>
      </x:c>
      <x:c r="D32" s="28" t="n">
        <x:f>SUM(D28:I28)-Inputs!D22</x:f>
        <x:v>11.396531484316172</x:v>
      </x:c>
      <x:c r="E32" s="29"/>
      <x:c r="F32" s="29"/>
      <x:c r="G32" s="29"/>
      <x:c r="H32" s="29"/>
      <x:c r="I32" s="29"/>
      <x:c r="J32" s="2"/>
      <x:c r="K32" s="2"/>
      <x:c r="L32" s="2"/>
      <x:c r="M32" s="2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1"/>
      <x:c r="B34" s="1"/>
      <x:c r="C34" s="10" t="str">
        <x:v>C - Short exclusive window</x:v>
      </x:c>
      <x:c r="D34" s="11"/>
      <x:c r="E34" s="11"/>
      <x:c r="F34" s="11"/>
      <x:c r="G34" s="11"/>
      <x:c r="H34" s="11"/>
      <x:c r="I34" s="11"/>
      <x:c r="J34" s="2"/>
      <x:c r="K34" s="2"/>
      <x:c r="L34" s="2"/>
      <x:c r="M34" s="2"/>
    </x:row>
    <x:row r="35" ht="23" customHeight="1">
      <x:c r="A35" s="1"/>
      <x:c r="B35" s="1"/>
      <x:c r="C35" s="1" t="str">
        <x:v>Half-year</x:v>
      </x:c>
      <x:c r="D35" s="19" t="n">
        <x:v>1</x:v>
      </x:c>
      <x:c r="E35" s="19" t="n">
        <x:v>2</x:v>
      </x:c>
      <x:c r="F35" s="19" t="n">
        <x:v>3</x:v>
      </x:c>
      <x:c r="G35" s="19" t="n">
        <x:v>4</x:v>
      </x:c>
      <x:c r="H35" s="19" t="n">
        <x:v>5</x:v>
      </x:c>
      <x:c r="I35" s="19" t="n">
        <x:v>6</x:v>
      </x:c>
      <x:c r="J35" s="2"/>
      <x:c r="K35" s="2"/>
      <x:c r="L35" s="2"/>
      <x:c r="M35" s="2"/>
    </x:row>
    <x:row r="36" ht="23" customHeight="1">
      <x:c r="A36" s="1"/>
      <x:c r="B36" s="1"/>
      <x:c r="C36" s="1" t="str">
        <x:v>Baseline gross cash</x:v>
      </x:c>
      <x:c r="D36" s="18" t="n">
        <x:f>Inputs!D10</x:f>
        <x:v>6</x:v>
      </x:c>
      <x:c r="E36" s="18" t="n">
        <x:f>Inputs!E10</x:f>
        <x:v>6</x:v>
      </x:c>
      <x:c r="F36" s="18" t="n">
        <x:f>Inputs!F10</x:f>
        <x:v>5</x:v>
      </x:c>
      <x:c r="G36" s="18" t="n">
        <x:f>Inputs!G10</x:f>
        <x:v>5</x:v>
      </x:c>
      <x:c r="H36" s="18" t="n">
        <x:f>Inputs!H10</x:f>
        <x:v>4</x:v>
      </x:c>
      <x:c r="I36" s="18" t="n">
        <x:f>Inputs!I10</x:f>
        <x:v>4</x:v>
      </x:c>
      <x:c r="J36" s="2"/>
      <x:c r="K36" s="2"/>
      <x:c r="L36" s="2"/>
      <x:c r="M36" s="2"/>
    </x:row>
    <x:row r="37" ht="23" customHeight="1">
      <x:c r="A37" s="1"/>
      <x:c r="B37" s="1"/>
      <x:c r="C37" s="1" t="str">
        <x:v>Discount factor</x:v>
      </x:c>
      <x:c r="D37" s="20" t="n">
        <x:f>(1+Inputs!$D$5)^(-D35/2)</x:f>
        <x:v>0.9534625892455922</x:v>
      </x:c>
      <x:c r="E37" s="20" t="n">
        <x:f>(1+Inputs!$D$5)^(-E35/2)</x:f>
        <x:v>0.9090909090909091</x:v>
      </x:c>
      <x:c r="F37" s="20" t="n">
        <x:f>(1+Inputs!$D$5)^(-F35/2)</x:f>
        <x:v>0.8667841720414474</x:v>
      </x:c>
      <x:c r="G37" s="20" t="n">
        <x:f>(1+Inputs!$D$5)^(-G35/2)</x:f>
        <x:v>0.8264462809917354</x:v>
      </x:c>
      <x:c r="H37" s="20" t="n">
        <x:f>(1+Inputs!$D$5)^(-H35/2)</x:f>
        <x:v>0.7879856109467703</x:v>
      </x:c>
      <x:c r="I37" s="20" t="n">
        <x:f>(1+Inputs!$D$5)^(-I35/2)</x:f>
        <x:v>0.7513148009015775</x:v>
      </x:c>
      <x:c r="J37" s="2"/>
      <x:c r="K37" s="2"/>
      <x:c r="L37" s="2"/>
      <x:c r="M37" s="2"/>
    </x:row>
    <x:row r="38" ht="23" customHeight="1">
      <x:c r="A38" s="1"/>
      <x:c r="B38" s="1"/>
      <x:c r="C38" s="1" t="str">
        <x:v>Deal fee receipts</x:v>
      </x:c>
      <x:c r="D38" s="18" t="n">
        <x:f>Inputs!$D$28*Inputs!D30</x:f>
        <x:v>18.599999999999998</x:v>
      </x:c>
      <x:c r="E38" s="18" t="n">
        <x:f>Inputs!$D$28*Inputs!E30</x:f>
        <x:v>12.4</x:v>
      </x:c>
      <x:c r="F38" s="18" t="n">
        <x:f>Inputs!$D$28*Inputs!F30</x:f>
        <x:v>0</x:v>
      </x:c>
      <x:c r="G38" s="18" t="n">
        <x:f>Inputs!$D$28*Inputs!G30</x:f>
        <x:v>0</x:v>
      </x:c>
      <x:c r="H38" s="18" t="n">
        <x:f>Inputs!$D$28*Inputs!H30</x:f>
        <x:v>0</x:v>
      </x:c>
      <x:c r="I38" s="18" t="n">
        <x:f>Inputs!$D$28*Inputs!I30</x:f>
        <x:v>0</x:v>
      </x:c>
      <x:c r="J38" s="2"/>
      <x:c r="K38" s="2"/>
      <x:c r="L38" s="2"/>
      <x:c r="M38" s="2"/>
    </x:row>
    <x:row r="39" ht="23" customHeight="1">
      <x:c r="A39" s="1"/>
      <x:c r="B39" s="1"/>
      <x:c r="C39" s="1" t="str">
        <x:v>Retained baseline cash</x:v>
      </x:c>
      <x:c r="D39" s="18" t="n">
        <x:f>D36*Inputs!D31</x:f>
        <x:v>0</x:v>
      </x:c>
      <x:c r="E39" s="18" t="n">
        <x:f>E36*Inputs!E31</x:f>
        <x:v>0</x:v>
      </x:c>
      <x:c r="F39" s="18" t="n">
        <x:f>F36*Inputs!F31</x:f>
        <x:v>4.5</x:v>
      </x:c>
      <x:c r="G39" s="18" t="n">
        <x:f>G36*Inputs!G31</x:f>
        <x:v>4.5</x:v>
      </x:c>
      <x:c r="H39" s="18" t="n">
        <x:f>H36*Inputs!H31</x:f>
        <x:v>3.6</x:v>
      </x:c>
      <x:c r="I39" s="18" t="n">
        <x:f>I36*Inputs!I31</x:f>
        <x:v>3.6</x:v>
      </x:c>
      <x:c r="J39" s="2"/>
      <x:c r="K39" s="2"/>
      <x:c r="L39" s="2"/>
      <x:c r="M39" s="2"/>
    </x:row>
    <x:row r="40" ht="23" customHeight="1">
      <x:c r="A40" s="1"/>
      <x:c r="B40" s="1"/>
      <x:c r="C40" s="1" t="str">
        <x:v>Foregone baseline cash</x:v>
      </x:c>
      <x:c r="D40" s="2" t="n">
        <x:f>D36-D39</x:f>
        <x:v>6</x:v>
      </x:c>
      <x:c r="E40" s="2" t="n">
        <x:f>E36-E39</x:f>
        <x:v>6</x:v>
      </x:c>
      <x:c r="F40" s="2" t="n">
        <x:f>F36-F39</x:f>
        <x:v>0.5</x:v>
      </x:c>
      <x:c r="G40" s="2" t="n">
        <x:f>G36-G39</x:f>
        <x:v>0.5</x:v>
      </x:c>
      <x:c r="H40" s="2" t="n">
        <x:f>H36-H39</x:f>
        <x:v>0.3999999999999999</x:v>
      </x:c>
      <x:c r="I40" s="2" t="n">
        <x:f>I36-I39</x:f>
        <x:v>0.3999999999999999</x:v>
      </x:c>
      <x:c r="J40" s="2"/>
      <x:c r="K40" s="2"/>
      <x:c r="L40" s="2"/>
      <x:c r="M40" s="2"/>
    </x:row>
    <x:row r="41" ht="23" customHeight="1">
      <x:c r="A41" s="1"/>
      <x:c r="B41" s="1"/>
      <x:c r="C41" s="1" t="str">
        <x:v>Incremental after participation</x:v>
      </x:c>
      <x:c r="D41" s="18" t="n">
        <x:f>(D38-D40)*(1-Inputs!$D$6)</x:f>
        <x:v>11.339999999999998</x:v>
      </x:c>
      <x:c r="E41" s="18" t="n">
        <x:f>(E38-E40)*(1-Inputs!$D$6)</x:f>
        <x:v>5.760000000000001</x:v>
      </x:c>
      <x:c r="F41" s="18" t="n">
        <x:f>(F38-F40)*(1-Inputs!$D$6)</x:f>
        <x:v>-0.45</x:v>
      </x:c>
      <x:c r="G41" s="18" t="n">
        <x:f>(G38-G40)*(1-Inputs!$D$6)</x:f>
        <x:v>-0.45</x:v>
      </x:c>
      <x:c r="H41" s="18" t="n">
        <x:f>(H38-H40)*(1-Inputs!$D$6)</x:f>
        <x:v>-0.35999999999999993</x:v>
      </x:c>
      <x:c r="I41" s="18" t="n">
        <x:f>(I38-I40)*(1-Inputs!$D$6)</x:f>
        <x:v>-0.35999999999999993</x:v>
      </x:c>
      <x:c r="J41" s="2"/>
      <x:c r="K41" s="2"/>
      <x:c r="L41" s="2"/>
      <x:c r="M41" s="2"/>
    </x:row>
    <x:row r="42" ht="23" customHeight="1">
      <x:c r="A42" s="1"/>
      <x:c r="B42" s="1"/>
      <x:c r="C42" s="1" t="str">
        <x:v>Present value of incremental cash</x:v>
      </x:c>
      <x:c r="D42" s="2" t="n">
        <x:f>D41*D37</x:f>
        <x:v>10.812265762045014</x:v>
      </x:c>
      <x:c r="E42" s="2" t="n">
        <x:f>E41*E37</x:f>
        <x:v>5.236363636363637</x:v>
      </x:c>
      <x:c r="F42" s="2" t="n">
        <x:f>F41*F37</x:f>
        <x:v>-0.39005287741865136</x:v>
      </x:c>
      <x:c r="G42" s="2" t="n">
        <x:f>G41*G37</x:f>
        <x:v>-0.371900826446281</x:v>
      </x:c>
      <x:c r="H42" s="2" t="n">
        <x:f>H41*H37</x:f>
        <x:v>-0.28367481994083726</x:v>
      </x:c>
      <x:c r="I42" s="2" t="n">
        <x:f>I41*I37</x:f>
        <x:v>-0.2704733283245679</x:v>
      </x:c>
      <x:c r="J42" s="2"/>
      <x:c r="K42" s="2"/>
      <x:c r="L42" s="2"/>
      <x:c r="M42" s="2"/>
    </x:row>
    <x:row r="43" ht="23" customHeight="1">
      <x:c r="A43" s="1"/>
      <x:c r="B43" s="1"/>
      <x:c r="C43" s="1" t="str">
        <x:v>Fee PV factor after participation</x:v>
      </x:c>
      <x:c r="D43" s="20" t="n">
        <x:f>Inputs!D30*(1-Inputs!$D$6)*D37</x:f>
        <x:v>0.5148697981926198</x:v>
      </x:c>
      <x:c r="E43" s="20" t="n">
        <x:f>Inputs!E30*(1-Inputs!$D$6)*E37</x:f>
        <x:v>0.3272727272727273</x:v>
      </x:c>
      <x:c r="F43" s="20" t="n">
        <x:f>Inputs!F30*(1-Inputs!$D$6)*F37</x:f>
        <x:v>0</x:v>
      </x:c>
      <x:c r="G43" s="20" t="n">
        <x:f>Inputs!G30*(1-Inputs!$D$6)*G37</x:f>
        <x:v>0</x:v>
      </x:c>
      <x:c r="H43" s="20" t="n">
        <x:f>Inputs!H30*(1-Inputs!$D$6)*H37</x:f>
        <x:v>0</x:v>
      </x:c>
      <x:c r="I43" s="20" t="n">
        <x:f>Inputs!I30*(1-Inputs!$D$6)*I37</x:f>
        <x:v>0</x:v>
      </x:c>
      <x:c r="J43" s="2"/>
      <x:c r="K43" s="2"/>
      <x:c r="L43" s="2"/>
      <x:c r="M43" s="2"/>
    </x:row>
    <x:row r="44" ht="23" customHeight="1">
      <x:c r="A44" s="1"/>
      <x:c r="B44" s="1"/>
      <x:c r="C44" s="1" t="str">
        <x:v>Foregone contribution PV</x:v>
      </x:c>
      <x:c r="D44" s="18" t="n">
        <x:f>D40*(1-Inputs!$D$6)*D37</x:f>
        <x:v>5.148697981926198</x:v>
      </x:c>
      <x:c r="E44" s="18" t="n">
        <x:f>E40*(1-Inputs!$D$6)*E37</x:f>
        <x:v>4.909090909090909</x:v>
      </x:c>
      <x:c r="F44" s="18" t="n">
        <x:f>F40*(1-Inputs!$D$6)*F37</x:f>
        <x:v>0.39005287741865136</x:v>
      </x:c>
      <x:c r="G44" s="18" t="n">
        <x:f>G40*(1-Inputs!$D$6)*G37</x:f>
        <x:v>0.371900826446281</x:v>
      </x:c>
      <x:c r="H44" s="18" t="n">
        <x:f>H40*(1-Inputs!$D$6)*H37</x:f>
        <x:v>0.28367481994083726</x:v>
      </x:c>
      <x:c r="I44" s="18" t="n">
        <x:f>I40*(1-Inputs!$D$6)*I37</x:f>
        <x:v>0.2704733283245679</x:v>
      </x:c>
      <x:c r="J44" s="2"/>
      <x:c r="K44" s="2"/>
      <x:c r="L44" s="2"/>
      <x:c r="M44" s="2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3" customHeight="1">
      <x:c r="A46" s="1"/>
      <x:c r="B46" s="1"/>
      <x:c r="C46" s="27" t="str">
        <x:v>Incremental NPV</x:v>
      </x:c>
      <x:c r="D46" s="28" t="n">
        <x:f>SUM(D42:I42)-Inputs!D29</x:f>
        <x:v>12.932527546278314</x:v>
      </x:c>
      <x:c r="E46" s="29"/>
      <x:c r="F46" s="29"/>
      <x:c r="G46" s="29"/>
      <x:c r="H46" s="29"/>
      <x:c r="I46" s="29"/>
      <x:c r="J46" s="2"/>
      <x:c r="K46" s="2"/>
      <x:c r="L46" s="2"/>
      <x:c r="M46" s="2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</x:sheetData>
  <x:mergeCells>
    <x:mergeCell ref="C2:I2"/>
    <x:mergeCell ref="C3:I3"/>
    <x:mergeCell ref="C6:I6"/>
    <x:mergeCell ref="C20:I20"/>
    <x:mergeCell ref="C34:I34"/>
  </x:mergeCells>
  <x:pageMargins left="0.7" right="0.7" top="0.75" bottom="0.75" header="0.3" footer="0.3"/>
</x:worksheet>
</file>